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09573EE-2F10-4878-A36F-83B17B591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2" i="2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G8" i="1"/>
  <c r="F8" i="1"/>
  <c r="H8" i="1" s="1"/>
  <c r="I7" i="1"/>
  <c r="H7" i="1"/>
  <c r="G7" i="1"/>
  <c r="F7" i="1"/>
  <c r="I6" i="1"/>
  <c r="G6" i="1"/>
  <c r="F6" i="1"/>
  <c r="H6" i="1" s="1"/>
  <c r="I5" i="1"/>
  <c r="H5" i="1"/>
  <c r="G5" i="1"/>
  <c r="F5" i="1"/>
  <c r="I4" i="1"/>
  <c r="H4" i="1"/>
  <c r="G4" i="1"/>
  <c r="F4" i="1"/>
  <c r="I3" i="1"/>
  <c r="H3" i="1"/>
  <c r="G3" i="1"/>
  <c r="F3" i="1"/>
  <c r="I2" i="1"/>
  <c r="H2" i="1"/>
  <c r="G2" i="1"/>
  <c r="F2" i="1"/>
</calcChain>
</file>

<file path=xl/sharedStrings.xml><?xml version="1.0" encoding="utf-8"?>
<sst xmlns="http://schemas.openxmlformats.org/spreadsheetml/2006/main" count="71" uniqueCount="58">
  <si>
    <t>ticket_id</t>
  </si>
  <si>
    <t>created_at</t>
  </si>
  <si>
    <t>closed_at</t>
  </si>
  <si>
    <t>outlet_id</t>
  </si>
  <si>
    <t>cms_id</t>
  </si>
  <si>
    <t>created_date</t>
  </si>
  <si>
    <t>closed_date</t>
  </si>
  <si>
    <t>same_day?</t>
  </si>
  <si>
    <t>same_hour?</t>
  </si>
  <si>
    <t>T1</t>
  </si>
  <si>
    <t>2021-11-10 09:15:00</t>
  </si>
  <si>
    <t>2021-11-10 09:45:00</t>
  </si>
  <si>
    <t>OutletA</t>
  </si>
  <si>
    <t>CMS1</t>
  </si>
  <si>
    <t>T2</t>
  </si>
  <si>
    <t>2021-11-10 10:00:00</t>
  </si>
  <si>
    <t>2021-11-10 11:00:00</t>
  </si>
  <si>
    <t>CMS2</t>
  </si>
  <si>
    <t>T3</t>
  </si>
  <si>
    <t>2021-11-11 09:00:00</t>
  </si>
  <si>
    <t>2021-11-12 09:00:00</t>
  </si>
  <si>
    <t>OutletB</t>
  </si>
  <si>
    <t>CMS3</t>
  </si>
  <si>
    <t>T4</t>
  </si>
  <si>
    <t>2021-11-11 09:30:00</t>
  </si>
  <si>
    <t>2021-11-11 09:45:00</t>
  </si>
  <si>
    <t>CMS4</t>
  </si>
  <si>
    <t>T5</t>
  </si>
  <si>
    <t>2021-11-12 07:30:00</t>
  </si>
  <si>
    <t>2021-11-12 08:15:00</t>
  </si>
  <si>
    <t>CMS5</t>
  </si>
  <si>
    <t>T6</t>
  </si>
  <si>
    <t>2021-11-12 10:10:00</t>
  </si>
  <si>
    <t>2021-11-12 12:00:00</t>
  </si>
  <si>
    <t>OutletC</t>
  </si>
  <si>
    <t>CMS6</t>
  </si>
  <si>
    <t>T7</t>
  </si>
  <si>
    <t>2021-11-13 14:00:00</t>
  </si>
  <si>
    <t>2021-11-13 14:45:00</t>
  </si>
  <si>
    <t>CMS7</t>
  </si>
  <si>
    <t>T8</t>
  </si>
  <si>
    <t>2021-11-13 15:45:00</t>
  </si>
  <si>
    <t>2021-11-14 15:45:00</t>
  </si>
  <si>
    <t>CMS8</t>
  </si>
  <si>
    <t>T9</t>
  </si>
  <si>
    <t>2021-11-14 09:15:00</t>
  </si>
  <si>
    <t>2021-11-14 11:45:00</t>
  </si>
  <si>
    <t>CMS9</t>
  </si>
  <si>
    <t>T10</t>
  </si>
  <si>
    <t>2021-11-15 10:00:00</t>
  </si>
  <si>
    <t>2021-11-15 10:59:00</t>
  </si>
  <si>
    <t>CMS10</t>
  </si>
  <si>
    <t>feedback_at</t>
  </si>
  <si>
    <t>feedback_rating</t>
  </si>
  <si>
    <t>ticket_created_at</t>
  </si>
  <si>
    <t>2021-11-10 10:10:00</t>
  </si>
  <si>
    <t>2021-11-11 10:00:00</t>
  </si>
  <si>
    <t>2021-11-13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</si>
</sst>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8" sqref="C8"/>
    </sheetView>
  </sheetViews>
  <sheetFormatPr defaultRowHeight="14.4" x14ac:dyDescent="0.3"/>
  <cols>
    <col min="1" max="1" width="8" bestFit="1" customWidth="1"/>
    <col min="2" max="3" width="18.109375" bestFit="1" customWidth="1"/>
    <col min="4" max="4" width="8.33203125" customWidth="1"/>
    <col min="5" max="5" width="6.6640625" bestFit="1" customWidth="1"/>
    <col min="6" max="6" width="11.88671875" bestFit="1" customWidth="1"/>
    <col min="7" max="7" width="10.88671875" bestFit="1" customWidth="1"/>
    <col min="8" max="8" width="10.109375" bestFit="1" customWidth="1"/>
    <col min="9" max="9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f t="shared" ref="F2:F11" si="0">INT(B2)</f>
        <v>44510</v>
      </c>
      <c r="G2">
        <f t="shared" ref="G2:G11" si="1">INT(C2)</f>
        <v>44510</v>
      </c>
      <c r="H2" t="str">
        <f t="shared" ref="H2:H11" si="2">IF(F2=G2,"TRUE","FALSE")</f>
        <v>TRUE</v>
      </c>
      <c r="I2" t="str">
        <f t="shared" ref="I2:I11" si="3">IF(HOUR(B2)=HOUR(C2),"TRUE","FALSE")</f>
        <v>TRUE</v>
      </c>
    </row>
    <row r="3" spans="1:9" x14ac:dyDescent="0.3">
      <c r="A3" t="s">
        <v>14</v>
      </c>
      <c r="B3" t="s">
        <v>15</v>
      </c>
      <c r="C3" t="s">
        <v>16</v>
      </c>
      <c r="D3" t="s">
        <v>12</v>
      </c>
      <c r="E3" t="s">
        <v>17</v>
      </c>
      <c r="F3">
        <f t="shared" si="0"/>
        <v>44510</v>
      </c>
      <c r="G3">
        <f t="shared" si="1"/>
        <v>44510</v>
      </c>
      <c r="H3" t="str">
        <f t="shared" si="2"/>
        <v>TRUE</v>
      </c>
      <c r="I3" t="str">
        <f t="shared" si="3"/>
        <v>FALSE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f t="shared" si="0"/>
        <v>44511</v>
      </c>
      <c r="G4">
        <f t="shared" si="1"/>
        <v>44512</v>
      </c>
      <c r="H4" t="str">
        <f t="shared" si="2"/>
        <v>FALSE</v>
      </c>
      <c r="I4" t="str">
        <f t="shared" si="3"/>
        <v>TRUE</v>
      </c>
    </row>
    <row r="5" spans="1:9" x14ac:dyDescent="0.3">
      <c r="A5" t="s">
        <v>23</v>
      </c>
      <c r="B5" t="s">
        <v>24</v>
      </c>
      <c r="C5" t="s">
        <v>25</v>
      </c>
      <c r="D5" t="s">
        <v>21</v>
      </c>
      <c r="E5" t="s">
        <v>26</v>
      </c>
      <c r="F5">
        <f t="shared" si="0"/>
        <v>44511</v>
      </c>
      <c r="G5">
        <f t="shared" si="1"/>
        <v>44511</v>
      </c>
      <c r="H5" t="str">
        <f t="shared" si="2"/>
        <v>TRUE</v>
      </c>
      <c r="I5" t="str">
        <f t="shared" si="3"/>
        <v>TRUE</v>
      </c>
    </row>
    <row r="6" spans="1:9" x14ac:dyDescent="0.3">
      <c r="A6" t="s">
        <v>27</v>
      </c>
      <c r="B6" t="s">
        <v>28</v>
      </c>
      <c r="C6" t="s">
        <v>29</v>
      </c>
      <c r="D6" t="s">
        <v>12</v>
      </c>
      <c r="E6" t="s">
        <v>30</v>
      </c>
      <c r="F6">
        <f t="shared" si="0"/>
        <v>44512</v>
      </c>
      <c r="G6">
        <f t="shared" si="1"/>
        <v>44512</v>
      </c>
      <c r="H6" t="str">
        <f t="shared" si="2"/>
        <v>TRUE</v>
      </c>
      <c r="I6" t="str">
        <f t="shared" si="3"/>
        <v>FALSE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f t="shared" si="0"/>
        <v>44512</v>
      </c>
      <c r="G7">
        <f t="shared" si="1"/>
        <v>44512</v>
      </c>
      <c r="H7" t="str">
        <f t="shared" si="2"/>
        <v>TRUE</v>
      </c>
      <c r="I7" t="str">
        <f t="shared" si="3"/>
        <v>FALSE</v>
      </c>
    </row>
    <row r="8" spans="1:9" x14ac:dyDescent="0.3">
      <c r="A8" t="s">
        <v>36</v>
      </c>
      <c r="B8" t="s">
        <v>37</v>
      </c>
      <c r="C8" t="s">
        <v>38</v>
      </c>
      <c r="D8" t="s">
        <v>34</v>
      </c>
      <c r="E8" t="s">
        <v>39</v>
      </c>
      <c r="F8">
        <f t="shared" si="0"/>
        <v>44513</v>
      </c>
      <c r="G8">
        <f t="shared" si="1"/>
        <v>44513</v>
      </c>
      <c r="H8" t="str">
        <f t="shared" si="2"/>
        <v>TRUE</v>
      </c>
      <c r="I8" t="str">
        <f t="shared" si="3"/>
        <v>TRUE</v>
      </c>
    </row>
    <row r="9" spans="1:9" x14ac:dyDescent="0.3">
      <c r="A9" t="s">
        <v>40</v>
      </c>
      <c r="B9" t="s">
        <v>41</v>
      </c>
      <c r="C9" t="s">
        <v>42</v>
      </c>
      <c r="D9" t="s">
        <v>12</v>
      </c>
      <c r="E9" t="s">
        <v>43</v>
      </c>
      <c r="F9">
        <f t="shared" si="0"/>
        <v>44513</v>
      </c>
      <c r="G9">
        <f t="shared" si="1"/>
        <v>44514</v>
      </c>
      <c r="H9" t="str">
        <f t="shared" si="2"/>
        <v>FALSE</v>
      </c>
      <c r="I9" t="str">
        <f t="shared" si="3"/>
        <v>TRUE</v>
      </c>
    </row>
    <row r="10" spans="1:9" x14ac:dyDescent="0.3">
      <c r="A10" t="s">
        <v>44</v>
      </c>
      <c r="B10" t="s">
        <v>45</v>
      </c>
      <c r="C10" t="s">
        <v>46</v>
      </c>
      <c r="D10" t="s">
        <v>21</v>
      </c>
      <c r="E10" t="s">
        <v>47</v>
      </c>
      <c r="F10">
        <f t="shared" si="0"/>
        <v>44514</v>
      </c>
      <c r="G10">
        <f t="shared" si="1"/>
        <v>44514</v>
      </c>
      <c r="H10" t="str">
        <f t="shared" si="2"/>
        <v>TRUE</v>
      </c>
      <c r="I10" t="str">
        <f t="shared" si="3"/>
        <v>FALSE</v>
      </c>
    </row>
    <row r="11" spans="1:9" x14ac:dyDescent="0.3">
      <c r="A11" t="s">
        <v>48</v>
      </c>
      <c r="B11" t="s">
        <v>49</v>
      </c>
      <c r="C11" t="s">
        <v>50</v>
      </c>
      <c r="D11" t="s">
        <v>34</v>
      </c>
      <c r="E11" t="s">
        <v>51</v>
      </c>
      <c r="F11">
        <f t="shared" si="0"/>
        <v>44515</v>
      </c>
      <c r="G11">
        <f t="shared" si="1"/>
        <v>44515</v>
      </c>
      <c r="H11" t="str">
        <f t="shared" si="2"/>
        <v>TRUE</v>
      </c>
      <c r="I11" t="str">
        <f t="shared" si="3"/>
        <v>TRUE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6" sqref="C6"/>
    </sheetView>
  </sheetViews>
  <sheetFormatPr defaultRowHeight="14.4" x14ac:dyDescent="0.3"/>
  <cols>
    <col min="1" max="1" width="6.6640625" bestFit="1" customWidth="1"/>
    <col min="2" max="2" width="18.109375" bestFit="1" customWidth="1"/>
    <col min="3" max="3" width="14.21875" bestFit="1" customWidth="1"/>
    <col min="4" max="4" width="15.5546875" bestFit="1" customWidth="1"/>
  </cols>
  <sheetData>
    <row r="1" spans="1:4" x14ac:dyDescent="0.3">
      <c r="A1" t="s">
        <v>4</v>
      </c>
      <c r="B1" t="s">
        <v>52</v>
      </c>
      <c r="C1" t="s">
        <v>53</v>
      </c>
      <c r="D1" t="s">
        <v>54</v>
      </c>
    </row>
    <row r="2" spans="1:4" x14ac:dyDescent="0.3">
      <c r="A2" t="s">
        <v>13</v>
      </c>
      <c r="B2" t="s">
        <v>55</v>
      </c>
      <c r="C2">
        <v>4</v>
      </c>
      <c r="D2" t="str">
        <f>INDEX(ticket!$B$2:$B$11, MATCH(A2, ticket!$E$2:$E$11, FALSE))</f>
        <v>2021-11-10 09:15:00</v>
      </c>
    </row>
    <row r="3" spans="1:4" x14ac:dyDescent="0.3">
      <c r="A3" t="s">
        <v>22</v>
      </c>
      <c r="B3" t="s">
        <v>56</v>
      </c>
      <c r="C3">
        <v>5</v>
      </c>
      <c r="D3" t="str">
        <f>INDEX(ticket!$B$2:$B$11, MATCH(A3, ticket!$E$2:$E$11, FALSE))</f>
        <v>2021-11-11 09:00:00</v>
      </c>
    </row>
    <row r="4" spans="1:4" x14ac:dyDescent="0.3">
      <c r="A4" t="s">
        <v>30</v>
      </c>
      <c r="B4" t="s">
        <v>20</v>
      </c>
      <c r="C4">
        <v>3</v>
      </c>
      <c r="D4" t="str">
        <f>INDEX(ticket!$B$2:$B$11, MATCH(A4, ticket!$E$2:$E$11, FALSE))</f>
        <v>2021-11-12 07:30:00</v>
      </c>
    </row>
    <row r="5" spans="1:4" x14ac:dyDescent="0.3">
      <c r="A5" t="s">
        <v>39</v>
      </c>
      <c r="B5" t="s">
        <v>57</v>
      </c>
      <c r="C5">
        <v>4</v>
      </c>
      <c r="D5" t="str">
        <f>INDEX(ticket!$B$2:$B$11, MATCH(A5, ticket!$E$2:$E$11, FALSE))</f>
        <v>2021-11-13 14:00:00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21pa1a0407 A</cp:lastModifiedBy>
  <dcterms:created xsi:type="dcterms:W3CDTF">2025-12-02T16:56:25Z</dcterms:created>
  <dcterms:modified xsi:type="dcterms:W3CDTF">2025-12-02T18:07:48Z</dcterms:modified>
</cp:coreProperties>
</file>